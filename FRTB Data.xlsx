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p/Documents/Pushkar/Python/Derivatives Pricing/FRTB/"/>
    </mc:Choice>
  </mc:AlternateContent>
  <xr:revisionPtr revIDLastSave="0" documentId="13_ncr:1_{A3316575-0A0A-DF4A-AA8C-040A0845F7B4}" xr6:coauthVersionLast="47" xr6:coauthVersionMax="47" xr10:uidLastSave="{00000000-0000-0000-0000-000000000000}"/>
  <bookViews>
    <workbookView xWindow="1020" yWindow="980" windowWidth="19820" windowHeight="24440" activeTab="2" xr2:uid="{4A5F09C8-CDAE-8E4C-95DE-037B7927D3D2}"/>
  </bookViews>
  <sheets>
    <sheet name="FX" sheetId="1" r:id="rId1"/>
    <sheet name="USDIRS" sheetId="2" r:id="rId2"/>
    <sheet name="FXTrad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3" i="3"/>
  <c r="G5" i="3"/>
  <c r="G2" i="3"/>
</calcChain>
</file>

<file path=xl/sharedStrings.xml><?xml version="1.0" encoding="utf-8"?>
<sst xmlns="http://schemas.openxmlformats.org/spreadsheetml/2006/main" count="195" uniqueCount="90">
  <si>
    <t>EURUSD SN FWD</t>
  </si>
  <si>
    <t>EURUSD SW FWD</t>
  </si>
  <si>
    <t>EURUSD 2W FWD</t>
  </si>
  <si>
    <t>EURUSD 3W FWD</t>
  </si>
  <si>
    <t>EURUSD 1M FWD</t>
  </si>
  <si>
    <t>EURUSD 2M FWD</t>
  </si>
  <si>
    <t>EURUSD 3M FWD</t>
  </si>
  <si>
    <t>EURUSD 4M FWD</t>
  </si>
  <si>
    <t>EURUSD 5M FWD</t>
  </si>
  <si>
    <t>EURUSD 6M FWD</t>
  </si>
  <si>
    <t>EURUSD 7M FWD</t>
  </si>
  <si>
    <t>EURUSD 8M FWD</t>
  </si>
  <si>
    <t>EURUSD 9M FWD</t>
  </si>
  <si>
    <t>EURUSD 10M FWD</t>
  </si>
  <si>
    <t>EURUSD 11M FWD</t>
  </si>
  <si>
    <t>EURUSD 1Y FWD</t>
  </si>
  <si>
    <t>EURUSD 15M FWD</t>
  </si>
  <si>
    <t>EURUSD 21M FWD</t>
  </si>
  <si>
    <t>EURUSD 2Y FWD</t>
  </si>
  <si>
    <t>EURUSD 3Y FWD</t>
  </si>
  <si>
    <t>EURUSD 4Y FWD</t>
  </si>
  <si>
    <t>EURUSD 5Y FWD</t>
  </si>
  <si>
    <t>Bid</t>
  </si>
  <si>
    <t>Ask</t>
  </si>
  <si>
    <t>RiC</t>
  </si>
  <si>
    <t>Tenor</t>
  </si>
  <si>
    <t>Unit</t>
  </si>
  <si>
    <t>d</t>
  </si>
  <si>
    <t>w</t>
  </si>
  <si>
    <t>m</t>
  </si>
  <si>
    <t>y</t>
  </si>
  <si>
    <t>EUR</t>
  </si>
  <si>
    <t>GBPUSD SN FWD</t>
  </si>
  <si>
    <t>GBPUSD SW FWD</t>
  </si>
  <si>
    <t>GBPUSD 2W FWD</t>
  </si>
  <si>
    <t>GBPUSD 3W FWD</t>
  </si>
  <si>
    <t>GBPUSD 1M FWD</t>
  </si>
  <si>
    <t>GBPUSD 2M FWD</t>
  </si>
  <si>
    <t>GBPUSD 3M FWD</t>
  </si>
  <si>
    <t>GBPUSD 4M FWD</t>
  </si>
  <si>
    <t>GBPUSD 5M FWD</t>
  </si>
  <si>
    <t>GBPUSD 6M FWD</t>
  </si>
  <si>
    <t>GBPUSD 7M FWD</t>
  </si>
  <si>
    <t>GBPUSD 8M FWD</t>
  </si>
  <si>
    <t>GBPUSD 9M FWD</t>
  </si>
  <si>
    <t>GBPUSD 10M FWD</t>
  </si>
  <si>
    <t>GBPUSD 11M FWD</t>
  </si>
  <si>
    <t>GBPUSD 1Y FWD</t>
  </si>
  <si>
    <t>GBPUSD 15M FWD</t>
  </si>
  <si>
    <t>GBPUSD 21M FWD</t>
  </si>
  <si>
    <t>GBPUSD 2Y FWD</t>
  </si>
  <si>
    <t>GBPUSD 3Y FWD</t>
  </si>
  <si>
    <t>GBPUSD 4Y FWD</t>
  </si>
  <si>
    <t>GBPUSD 5Y FWD</t>
  </si>
  <si>
    <t>EURUSD</t>
  </si>
  <si>
    <t>GBPUSD</t>
  </si>
  <si>
    <t>JPY</t>
  </si>
  <si>
    <t>USDJPY SN FWD</t>
  </si>
  <si>
    <t>USDJPY SW FWD</t>
  </si>
  <si>
    <t>USDJPY 2W FWD</t>
  </si>
  <si>
    <t>USDJPY 3W FWD</t>
  </si>
  <si>
    <t>USDJPY 1M FWD</t>
  </si>
  <si>
    <t>USDJPY 2M FWD</t>
  </si>
  <si>
    <t>USDJPY 3M FWD</t>
  </si>
  <si>
    <t>USDJPY 4M FWD</t>
  </si>
  <si>
    <t>USDJPY 5M FWD</t>
  </si>
  <si>
    <t>USDJPY 6M FWD</t>
  </si>
  <si>
    <t>USDJPY 7M FWD</t>
  </si>
  <si>
    <t>USDJPY 8M FWD</t>
  </si>
  <si>
    <t>USDJPY 9M FWD</t>
  </si>
  <si>
    <t>USDJPY 10M FWD</t>
  </si>
  <si>
    <t>USDJPY 11M FWD</t>
  </si>
  <si>
    <t>USDJPY 1Y FWD</t>
  </si>
  <si>
    <t>USDJPY 15M FWD</t>
  </si>
  <si>
    <t>USDJPY 21M FWD</t>
  </si>
  <si>
    <t>USDJPY 2Y FWD</t>
  </si>
  <si>
    <t>USDJPY 3Y FWD</t>
  </si>
  <si>
    <t>USDJPY 4Y FWD</t>
  </si>
  <si>
    <t>USDJPY 5Y FWD</t>
  </si>
  <si>
    <t>Rate</t>
  </si>
  <si>
    <t>Sr No</t>
  </si>
  <si>
    <t>Pair</t>
  </si>
  <si>
    <t>USDJPY</t>
  </si>
  <si>
    <t>Not CCY</t>
  </si>
  <si>
    <t>CCY Amt</t>
  </si>
  <si>
    <t>Date</t>
  </si>
  <si>
    <t>USD</t>
  </si>
  <si>
    <t>vs CCY</t>
  </si>
  <si>
    <t>GBP</t>
  </si>
  <si>
    <t>vs CCY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</si>
</sst>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%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21" fontId="0" fillId="0" borderId="0" xfId="0" applyNumberFormat="1"/>
    <xf numFmtId="0" fontId="1" fillId="0" borderId="1" xfId="0" applyFont="1" applyBorder="1"/>
    <xf numFmtId="0" fontId="0" fillId="0" borderId="1" xfId="0" applyBorder="1"/>
    <xf numFmtId="168" fontId="0" fillId="0" borderId="1" xfId="0" applyNumberFormat="1" applyBorder="1"/>
    <xf numFmtId="0" fontId="0" fillId="0" borderId="0" xfId="0" applyBorder="1"/>
    <xf numFmtId="0" fontId="0" fillId="0" borderId="0" xfId="0" applyFill="1" applyBorder="1"/>
    <xf numFmtId="168" fontId="0" fillId="0" borderId="0" xfId="0" applyNumberFormat="1" applyBorder="1"/>
    <xf numFmtId="0" fontId="0" fillId="0" borderId="1" xfId="0" applyFill="1" applyBorder="1"/>
    <xf numFmtId="15" fontId="0" fillId="0" borderId="0" xfId="0" applyNumberFormat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B050-6264-1243-9819-74F5918B40EE}">
  <dimension ref="B1:R37"/>
  <sheetViews>
    <sheetView workbookViewId="0">
      <selection activeCell="S28" sqref="S28"/>
    </sheetView>
  </sheetViews>
  <sheetFormatPr baseColWidth="10" defaultRowHeight="16" x14ac:dyDescent="0.2"/>
  <cols>
    <col min="1" max="1" width="2.6640625" customWidth="1"/>
    <col min="2" max="2" width="16.33203125" bestFit="1" customWidth="1"/>
    <col min="3" max="3" width="5.6640625" bestFit="1" customWidth="1"/>
    <col min="4" max="4" width="4.5" bestFit="1" customWidth="1"/>
    <col min="5" max="6" width="7.1640625" bestFit="1" customWidth="1"/>
    <col min="7" max="7" width="3.33203125" customWidth="1"/>
    <col min="8" max="8" width="16.33203125" bestFit="1" customWidth="1"/>
    <col min="9" max="9" width="5.6640625" bestFit="1" customWidth="1"/>
    <col min="10" max="10" width="4.5" bestFit="1" customWidth="1"/>
    <col min="13" max="13" width="3.5" customWidth="1"/>
    <col min="14" max="14" width="15.33203125" bestFit="1" customWidth="1"/>
    <col min="15" max="15" width="5.6640625" bestFit="1" customWidth="1"/>
    <col min="16" max="16" width="4.5" bestFit="1" customWidth="1"/>
  </cols>
  <sheetData>
    <row r="1" spans="2:18" x14ac:dyDescent="0.2">
      <c r="B1" t="s">
        <v>24</v>
      </c>
      <c r="C1" t="s">
        <v>25</v>
      </c>
      <c r="D1" t="s">
        <v>26</v>
      </c>
      <c r="E1" t="s">
        <v>22</v>
      </c>
      <c r="F1" t="s">
        <v>23</v>
      </c>
      <c r="H1" t="s">
        <v>24</v>
      </c>
      <c r="I1" t="s">
        <v>25</v>
      </c>
      <c r="J1" t="s">
        <v>26</v>
      </c>
      <c r="K1" t="s">
        <v>22</v>
      </c>
      <c r="L1" t="s">
        <v>23</v>
      </c>
      <c r="N1" t="s">
        <v>24</v>
      </c>
      <c r="O1" t="s">
        <v>25</v>
      </c>
      <c r="P1" t="s">
        <v>26</v>
      </c>
      <c r="Q1" t="s">
        <v>22</v>
      </c>
      <c r="R1" t="s">
        <v>23</v>
      </c>
    </row>
    <row r="2" spans="2:18" x14ac:dyDescent="0.2">
      <c r="B2" t="s">
        <v>54</v>
      </c>
      <c r="C2">
        <v>0</v>
      </c>
      <c r="D2" t="s">
        <v>27</v>
      </c>
      <c r="E2">
        <v>1.1513</v>
      </c>
      <c r="F2">
        <v>1.1514</v>
      </c>
      <c r="H2" t="s">
        <v>55</v>
      </c>
      <c r="I2">
        <v>0</v>
      </c>
      <c r="J2" t="s">
        <v>27</v>
      </c>
      <c r="K2">
        <v>1.3097000000000001</v>
      </c>
      <c r="L2">
        <v>1.3098000000000001</v>
      </c>
      <c r="N2" t="s">
        <v>56</v>
      </c>
      <c r="O2">
        <v>0</v>
      </c>
      <c r="P2" t="s">
        <v>27</v>
      </c>
      <c r="Q2">
        <v>156.38999999999999</v>
      </c>
      <c r="R2">
        <v>156.4</v>
      </c>
    </row>
    <row r="3" spans="2:18" x14ac:dyDescent="0.2">
      <c r="B3" t="s">
        <v>0</v>
      </c>
      <c r="C3">
        <v>1</v>
      </c>
      <c r="D3" t="s">
        <v>27</v>
      </c>
      <c r="E3">
        <v>0.6</v>
      </c>
      <c r="F3">
        <v>0.63</v>
      </c>
      <c r="H3" t="s">
        <v>32</v>
      </c>
      <c r="I3">
        <v>1</v>
      </c>
      <c r="J3" t="s">
        <v>27</v>
      </c>
      <c r="K3">
        <v>-0.02</v>
      </c>
      <c r="L3">
        <v>-0.01</v>
      </c>
      <c r="N3" t="s">
        <v>57</v>
      </c>
      <c r="O3">
        <v>1</v>
      </c>
      <c r="P3" t="s">
        <v>27</v>
      </c>
      <c r="Q3">
        <v>-3.14</v>
      </c>
      <c r="R3">
        <v>-3.13</v>
      </c>
    </row>
    <row r="4" spans="2:18" x14ac:dyDescent="0.2">
      <c r="B4" t="s">
        <v>1</v>
      </c>
      <c r="C4">
        <v>1</v>
      </c>
      <c r="D4" t="s">
        <v>28</v>
      </c>
      <c r="E4">
        <v>4.63</v>
      </c>
      <c r="F4">
        <v>4.66</v>
      </c>
      <c r="H4" t="s">
        <v>33</v>
      </c>
      <c r="I4">
        <v>1</v>
      </c>
      <c r="J4" t="s">
        <v>28</v>
      </c>
      <c r="K4">
        <v>-0.04</v>
      </c>
      <c r="L4">
        <v>-0.03</v>
      </c>
      <c r="N4" t="s">
        <v>58</v>
      </c>
      <c r="O4">
        <v>1</v>
      </c>
      <c r="P4" t="s">
        <v>28</v>
      </c>
      <c r="Q4">
        <v>-11.39</v>
      </c>
      <c r="R4">
        <v>-11.37</v>
      </c>
    </row>
    <row r="5" spans="2:18" x14ac:dyDescent="0.2">
      <c r="B5" t="s">
        <v>2</v>
      </c>
      <c r="C5">
        <v>2</v>
      </c>
      <c r="D5" t="s">
        <v>28</v>
      </c>
      <c r="E5">
        <v>9.0500000000000007</v>
      </c>
      <c r="F5">
        <v>9.2100000000000009</v>
      </c>
      <c r="H5" t="s">
        <v>34</v>
      </c>
      <c r="I5">
        <v>2</v>
      </c>
      <c r="J5" t="s">
        <v>28</v>
      </c>
      <c r="K5">
        <v>0.01</v>
      </c>
      <c r="L5">
        <v>0.03</v>
      </c>
      <c r="N5" t="s">
        <v>59</v>
      </c>
      <c r="O5">
        <v>2</v>
      </c>
      <c r="P5" t="s">
        <v>28</v>
      </c>
      <c r="Q5">
        <v>-22.36</v>
      </c>
      <c r="R5">
        <v>-22.35</v>
      </c>
    </row>
    <row r="6" spans="2:18" x14ac:dyDescent="0.2">
      <c r="B6" t="s">
        <v>3</v>
      </c>
      <c r="C6">
        <v>3</v>
      </c>
      <c r="D6" t="s">
        <v>28</v>
      </c>
      <c r="E6">
        <v>13.34</v>
      </c>
      <c r="F6">
        <v>13.43</v>
      </c>
      <c r="H6" t="s">
        <v>35</v>
      </c>
      <c r="I6">
        <v>3</v>
      </c>
      <c r="J6" t="s">
        <v>28</v>
      </c>
      <c r="K6">
        <v>-0.09</v>
      </c>
      <c r="L6">
        <v>0.09</v>
      </c>
      <c r="N6" t="s">
        <v>60</v>
      </c>
      <c r="O6">
        <v>3</v>
      </c>
      <c r="P6" t="s">
        <v>28</v>
      </c>
      <c r="Q6">
        <v>-33</v>
      </c>
      <c r="R6">
        <v>-32</v>
      </c>
    </row>
    <row r="7" spans="2:18" x14ac:dyDescent="0.2">
      <c r="B7" t="s">
        <v>4</v>
      </c>
      <c r="C7">
        <v>1</v>
      </c>
      <c r="D7" t="s">
        <v>29</v>
      </c>
      <c r="E7">
        <v>21.21</v>
      </c>
      <c r="F7">
        <v>21.37</v>
      </c>
      <c r="H7" t="s">
        <v>36</v>
      </c>
      <c r="I7">
        <v>1</v>
      </c>
      <c r="J7" t="s">
        <v>29</v>
      </c>
      <c r="K7">
        <v>-0.02</v>
      </c>
      <c r="L7">
        <v>0.02</v>
      </c>
      <c r="N7" t="s">
        <v>61</v>
      </c>
      <c r="O7">
        <v>1</v>
      </c>
      <c r="P7" t="s">
        <v>29</v>
      </c>
      <c r="Q7">
        <v>-46.89</v>
      </c>
      <c r="R7">
        <v>-45.82</v>
      </c>
    </row>
    <row r="8" spans="2:18" x14ac:dyDescent="0.2">
      <c r="B8" t="s">
        <v>5</v>
      </c>
      <c r="C8">
        <v>2</v>
      </c>
      <c r="D8" t="s">
        <v>29</v>
      </c>
      <c r="E8">
        <v>38.200000000000003</v>
      </c>
      <c r="F8">
        <v>41.73</v>
      </c>
      <c r="H8" t="s">
        <v>37</v>
      </c>
      <c r="I8">
        <v>2</v>
      </c>
      <c r="J8" t="s">
        <v>29</v>
      </c>
      <c r="K8">
        <v>0.32</v>
      </c>
      <c r="L8">
        <v>0.42</v>
      </c>
      <c r="N8" t="s">
        <v>62</v>
      </c>
      <c r="O8">
        <v>2</v>
      </c>
      <c r="P8" t="s">
        <v>29</v>
      </c>
      <c r="Q8">
        <v>-98.5</v>
      </c>
      <c r="R8">
        <v>-97.07</v>
      </c>
    </row>
    <row r="9" spans="2:18" x14ac:dyDescent="0.2">
      <c r="B9" t="s">
        <v>6</v>
      </c>
      <c r="C9">
        <v>3</v>
      </c>
      <c r="D9" t="s">
        <v>29</v>
      </c>
      <c r="E9">
        <v>55.74</v>
      </c>
      <c r="F9">
        <v>59.04</v>
      </c>
      <c r="H9" t="s">
        <v>38</v>
      </c>
      <c r="I9">
        <v>3</v>
      </c>
      <c r="J9" t="s">
        <v>29</v>
      </c>
      <c r="K9">
        <v>0.23</v>
      </c>
      <c r="L9">
        <v>0.39</v>
      </c>
      <c r="N9" t="s">
        <v>63</v>
      </c>
      <c r="O9">
        <v>3</v>
      </c>
      <c r="P9" t="s">
        <v>29</v>
      </c>
      <c r="Q9">
        <v>-141.72</v>
      </c>
      <c r="R9">
        <v>-140.47999999999999</v>
      </c>
    </row>
    <row r="10" spans="2:18" x14ac:dyDescent="0.2">
      <c r="B10" t="s">
        <v>7</v>
      </c>
      <c r="C10">
        <v>4</v>
      </c>
      <c r="D10" t="s">
        <v>29</v>
      </c>
      <c r="E10">
        <v>70.040000000000006</v>
      </c>
      <c r="F10">
        <v>76.459999999999994</v>
      </c>
      <c r="H10" t="s">
        <v>39</v>
      </c>
      <c r="I10">
        <v>4</v>
      </c>
      <c r="J10" t="s">
        <v>29</v>
      </c>
      <c r="K10">
        <v>0.17</v>
      </c>
      <c r="L10">
        <v>0.43</v>
      </c>
      <c r="N10" t="s">
        <v>64</v>
      </c>
      <c r="O10">
        <v>4</v>
      </c>
      <c r="P10" t="s">
        <v>29</v>
      </c>
      <c r="Q10">
        <v>-181.81</v>
      </c>
      <c r="R10">
        <v>-178.32</v>
      </c>
    </row>
    <row r="11" spans="2:18" x14ac:dyDescent="0.2">
      <c r="B11" t="s">
        <v>8</v>
      </c>
      <c r="C11">
        <v>5</v>
      </c>
      <c r="D11" t="s">
        <v>29</v>
      </c>
      <c r="E11">
        <v>88.07</v>
      </c>
      <c r="F11">
        <v>94.53</v>
      </c>
      <c r="H11" t="s">
        <v>40</v>
      </c>
      <c r="I11">
        <v>5</v>
      </c>
      <c r="J11" t="s">
        <v>29</v>
      </c>
      <c r="K11">
        <v>-0.1</v>
      </c>
      <c r="L11">
        <v>0.26</v>
      </c>
      <c r="N11" t="s">
        <v>65</v>
      </c>
      <c r="O11">
        <v>5</v>
      </c>
      <c r="P11" t="s">
        <v>29</v>
      </c>
      <c r="Q11">
        <v>-225.77</v>
      </c>
      <c r="R11">
        <v>-225.38</v>
      </c>
    </row>
    <row r="12" spans="2:18" x14ac:dyDescent="0.2">
      <c r="B12" t="s">
        <v>9</v>
      </c>
      <c r="C12">
        <v>6</v>
      </c>
      <c r="D12" t="s">
        <v>29</v>
      </c>
      <c r="E12">
        <v>104.27</v>
      </c>
      <c r="F12">
        <v>109.53</v>
      </c>
      <c r="H12" t="s">
        <v>41</v>
      </c>
      <c r="I12">
        <v>6</v>
      </c>
      <c r="J12" t="s">
        <v>29</v>
      </c>
      <c r="K12">
        <v>-0.23</v>
      </c>
      <c r="L12">
        <v>0.22</v>
      </c>
      <c r="N12" t="s">
        <v>66</v>
      </c>
      <c r="O12">
        <v>6</v>
      </c>
      <c r="P12" t="s">
        <v>29</v>
      </c>
      <c r="Q12">
        <v>-263.36</v>
      </c>
      <c r="R12">
        <v>-263.02999999999997</v>
      </c>
    </row>
    <row r="13" spans="2:18" x14ac:dyDescent="0.2">
      <c r="B13" t="s">
        <v>10</v>
      </c>
      <c r="C13">
        <v>7</v>
      </c>
      <c r="D13" t="s">
        <v>29</v>
      </c>
      <c r="E13">
        <v>117.15</v>
      </c>
      <c r="F13">
        <v>128.05000000000001</v>
      </c>
      <c r="H13" t="s">
        <v>42</v>
      </c>
      <c r="I13">
        <v>7</v>
      </c>
      <c r="J13" t="s">
        <v>29</v>
      </c>
      <c r="K13">
        <v>-0.59</v>
      </c>
      <c r="L13">
        <v>-0.05</v>
      </c>
      <c r="N13" t="s">
        <v>67</v>
      </c>
      <c r="O13">
        <v>7</v>
      </c>
      <c r="P13" t="s">
        <v>29</v>
      </c>
      <c r="Q13">
        <v>-299.33</v>
      </c>
      <c r="R13">
        <v>-299.08</v>
      </c>
    </row>
    <row r="14" spans="2:18" x14ac:dyDescent="0.2">
      <c r="B14" t="s">
        <v>11</v>
      </c>
      <c r="C14">
        <v>8</v>
      </c>
      <c r="D14" t="s">
        <v>29</v>
      </c>
      <c r="E14">
        <v>134.65</v>
      </c>
      <c r="F14">
        <v>141.9</v>
      </c>
      <c r="H14" t="s">
        <v>43</v>
      </c>
      <c r="I14">
        <v>8</v>
      </c>
      <c r="J14" t="s">
        <v>29</v>
      </c>
      <c r="K14">
        <v>-2.0299999999999998</v>
      </c>
      <c r="L14">
        <v>-1.35</v>
      </c>
      <c r="N14" t="s">
        <v>68</v>
      </c>
      <c r="O14">
        <v>8</v>
      </c>
      <c r="P14" t="s">
        <v>29</v>
      </c>
      <c r="Q14">
        <v>-337.26</v>
      </c>
      <c r="R14">
        <v>-337.08</v>
      </c>
    </row>
    <row r="15" spans="2:18" x14ac:dyDescent="0.2">
      <c r="B15" t="s">
        <v>12</v>
      </c>
      <c r="C15">
        <v>9</v>
      </c>
      <c r="D15" t="s">
        <v>29</v>
      </c>
      <c r="E15">
        <v>146.47</v>
      </c>
      <c r="F15">
        <v>157.03</v>
      </c>
      <c r="H15" t="s">
        <v>44</v>
      </c>
      <c r="I15">
        <v>9</v>
      </c>
      <c r="J15" t="s">
        <v>29</v>
      </c>
      <c r="K15">
        <v>-3.83</v>
      </c>
      <c r="L15">
        <v>-3.01</v>
      </c>
      <c r="N15" t="s">
        <v>69</v>
      </c>
      <c r="O15">
        <v>9</v>
      </c>
      <c r="P15" t="s">
        <v>29</v>
      </c>
      <c r="Q15">
        <v>-373.45</v>
      </c>
      <c r="R15">
        <v>-373.33</v>
      </c>
    </row>
    <row r="16" spans="2:18" x14ac:dyDescent="0.2">
      <c r="B16" t="s">
        <v>13</v>
      </c>
      <c r="C16">
        <v>10</v>
      </c>
      <c r="D16" t="s">
        <v>29</v>
      </c>
      <c r="E16">
        <v>161.62</v>
      </c>
      <c r="F16">
        <v>169.18</v>
      </c>
      <c r="H16" t="s">
        <v>45</v>
      </c>
      <c r="I16">
        <v>10</v>
      </c>
      <c r="J16" t="s">
        <v>29</v>
      </c>
      <c r="K16">
        <v>-6.07</v>
      </c>
      <c r="L16">
        <v>-5.1100000000000003</v>
      </c>
      <c r="N16" t="s">
        <v>70</v>
      </c>
      <c r="O16">
        <v>10</v>
      </c>
      <c r="P16" t="s">
        <v>29</v>
      </c>
      <c r="Q16">
        <v>-409.47</v>
      </c>
      <c r="R16">
        <v>-409.43</v>
      </c>
    </row>
    <row r="17" spans="2:18" x14ac:dyDescent="0.2">
      <c r="B17" t="s">
        <v>14</v>
      </c>
      <c r="C17">
        <v>11</v>
      </c>
      <c r="D17" t="s">
        <v>29</v>
      </c>
      <c r="E17">
        <v>173.92</v>
      </c>
      <c r="F17">
        <v>183.48</v>
      </c>
      <c r="H17" t="s">
        <v>46</v>
      </c>
      <c r="I17">
        <v>11</v>
      </c>
      <c r="J17" t="s">
        <v>29</v>
      </c>
      <c r="K17">
        <v>-9.1</v>
      </c>
      <c r="L17">
        <v>-8</v>
      </c>
      <c r="N17" t="s">
        <v>71</v>
      </c>
      <c r="O17">
        <v>11</v>
      </c>
      <c r="P17" t="s">
        <v>29</v>
      </c>
      <c r="Q17">
        <v>-437.19</v>
      </c>
      <c r="R17">
        <v>-437.18</v>
      </c>
    </row>
    <row r="18" spans="2:18" x14ac:dyDescent="0.2">
      <c r="B18" t="s">
        <v>15</v>
      </c>
      <c r="C18">
        <v>12</v>
      </c>
      <c r="D18" t="s">
        <v>29</v>
      </c>
      <c r="E18">
        <v>186.62</v>
      </c>
      <c r="F18">
        <v>196.18</v>
      </c>
      <c r="H18" t="s">
        <v>47</v>
      </c>
      <c r="I18">
        <v>12</v>
      </c>
      <c r="J18" t="s">
        <v>29</v>
      </c>
      <c r="K18">
        <v>-12.32</v>
      </c>
      <c r="L18">
        <v>-10.92</v>
      </c>
      <c r="N18" t="s">
        <v>72</v>
      </c>
      <c r="O18">
        <v>12</v>
      </c>
      <c r="P18" t="s">
        <v>29</v>
      </c>
      <c r="Q18">
        <v>-468.55</v>
      </c>
      <c r="R18">
        <v>-466.35</v>
      </c>
    </row>
    <row r="19" spans="2:18" x14ac:dyDescent="0.2">
      <c r="B19" t="s">
        <v>16</v>
      </c>
      <c r="C19">
        <v>15</v>
      </c>
      <c r="D19" t="s">
        <v>29</v>
      </c>
      <c r="E19">
        <v>228.3</v>
      </c>
      <c r="F19">
        <v>229.7</v>
      </c>
      <c r="H19" t="s">
        <v>48</v>
      </c>
      <c r="I19">
        <v>15</v>
      </c>
      <c r="J19" t="s">
        <v>29</v>
      </c>
      <c r="K19">
        <v>-23.28</v>
      </c>
      <c r="L19">
        <v>-23.22</v>
      </c>
      <c r="N19" t="s">
        <v>73</v>
      </c>
      <c r="O19">
        <v>15</v>
      </c>
      <c r="P19" t="s">
        <v>29</v>
      </c>
      <c r="Q19">
        <v>-566.86</v>
      </c>
      <c r="R19">
        <v>-561.54</v>
      </c>
    </row>
    <row r="20" spans="2:18" x14ac:dyDescent="0.2">
      <c r="B20" t="s">
        <v>17</v>
      </c>
      <c r="C20">
        <v>21</v>
      </c>
      <c r="D20" t="s">
        <v>29</v>
      </c>
      <c r="E20">
        <v>292.68</v>
      </c>
      <c r="F20">
        <v>295.47000000000003</v>
      </c>
      <c r="H20" t="s">
        <v>49</v>
      </c>
      <c r="I20">
        <v>21</v>
      </c>
      <c r="J20" t="s">
        <v>29</v>
      </c>
      <c r="K20">
        <v>-60.68</v>
      </c>
      <c r="L20">
        <v>-40.1</v>
      </c>
      <c r="N20" t="s">
        <v>74</v>
      </c>
      <c r="O20">
        <v>21</v>
      </c>
      <c r="P20" t="s">
        <v>29</v>
      </c>
      <c r="Q20">
        <v>-728.19</v>
      </c>
      <c r="R20">
        <v>-728.13</v>
      </c>
    </row>
    <row r="21" spans="2:18" x14ac:dyDescent="0.2">
      <c r="B21" t="s">
        <v>18</v>
      </c>
      <c r="C21">
        <v>2</v>
      </c>
      <c r="D21" t="s">
        <v>30</v>
      </c>
      <c r="E21">
        <v>324.75</v>
      </c>
      <c r="F21">
        <v>328.25</v>
      </c>
      <c r="H21" t="s">
        <v>50</v>
      </c>
      <c r="I21">
        <v>2</v>
      </c>
      <c r="J21" t="s">
        <v>30</v>
      </c>
      <c r="K21">
        <v>-67.72</v>
      </c>
      <c r="L21">
        <v>-60.59</v>
      </c>
      <c r="N21" t="s">
        <v>75</v>
      </c>
      <c r="O21">
        <v>2</v>
      </c>
      <c r="P21" t="s">
        <v>30</v>
      </c>
      <c r="Q21">
        <v>-802.53</v>
      </c>
      <c r="R21">
        <v>-802.21</v>
      </c>
    </row>
    <row r="22" spans="2:18" x14ac:dyDescent="0.2">
      <c r="B22" t="s">
        <v>19</v>
      </c>
      <c r="C22">
        <v>3</v>
      </c>
      <c r="D22" t="s">
        <v>30</v>
      </c>
      <c r="E22">
        <v>442.41</v>
      </c>
      <c r="F22">
        <v>453.36</v>
      </c>
      <c r="H22" t="s">
        <v>51</v>
      </c>
      <c r="I22">
        <v>3</v>
      </c>
      <c r="J22" t="s">
        <v>30</v>
      </c>
      <c r="K22">
        <v>-133</v>
      </c>
      <c r="L22">
        <v>-113</v>
      </c>
      <c r="N22" t="s">
        <v>76</v>
      </c>
      <c r="O22">
        <v>3</v>
      </c>
      <c r="P22" t="s">
        <v>30</v>
      </c>
      <c r="Q22">
        <v>-1135</v>
      </c>
      <c r="R22">
        <v>-1113</v>
      </c>
    </row>
    <row r="23" spans="2:18" x14ac:dyDescent="0.2">
      <c r="B23" t="s">
        <v>20</v>
      </c>
      <c r="C23">
        <v>4</v>
      </c>
      <c r="D23" t="s">
        <v>30</v>
      </c>
      <c r="E23">
        <v>560.1</v>
      </c>
      <c r="F23">
        <v>574.82000000000005</v>
      </c>
      <c r="H23" t="s">
        <v>52</v>
      </c>
      <c r="I23">
        <v>4</v>
      </c>
      <c r="J23" t="s">
        <v>30</v>
      </c>
      <c r="K23">
        <v>-192.5</v>
      </c>
      <c r="L23">
        <v>-152.5</v>
      </c>
      <c r="N23" t="s">
        <v>77</v>
      </c>
      <c r="O23">
        <v>4</v>
      </c>
      <c r="P23" t="s">
        <v>30</v>
      </c>
      <c r="Q23">
        <v>-1462</v>
      </c>
      <c r="R23">
        <v>-1432</v>
      </c>
    </row>
    <row r="24" spans="2:18" x14ac:dyDescent="0.2">
      <c r="B24" t="s">
        <v>21</v>
      </c>
      <c r="C24">
        <v>5</v>
      </c>
      <c r="D24" t="s">
        <v>30</v>
      </c>
      <c r="E24">
        <v>682.38</v>
      </c>
      <c r="F24">
        <v>700.95</v>
      </c>
      <c r="H24" t="s">
        <v>53</v>
      </c>
      <c r="I24">
        <v>5</v>
      </c>
      <c r="J24" t="s">
        <v>30</v>
      </c>
      <c r="K24">
        <v>-236.7</v>
      </c>
      <c r="L24">
        <v>-186.7</v>
      </c>
      <c r="N24" t="s">
        <v>78</v>
      </c>
      <c r="O24">
        <v>5</v>
      </c>
      <c r="P24" t="s">
        <v>30</v>
      </c>
      <c r="Q24">
        <v>-1789</v>
      </c>
      <c r="R24">
        <v>-1750</v>
      </c>
    </row>
    <row r="25" spans="2:18" x14ac:dyDescent="0.2">
      <c r="Q25" s="1"/>
      <c r="R25" s="2"/>
    </row>
    <row r="26" spans="2:18" x14ac:dyDescent="0.2">
      <c r="Q26" s="1"/>
      <c r="R26" s="2"/>
    </row>
    <row r="27" spans="2:18" x14ac:dyDescent="0.2">
      <c r="Q27" s="1"/>
      <c r="R27" s="2"/>
    </row>
    <row r="28" spans="2:18" x14ac:dyDescent="0.2">
      <c r="R28" s="2"/>
    </row>
    <row r="29" spans="2:18" x14ac:dyDescent="0.2">
      <c r="R29" s="2"/>
    </row>
    <row r="30" spans="2:18" x14ac:dyDescent="0.2">
      <c r="R30" s="2"/>
    </row>
    <row r="31" spans="2:18" x14ac:dyDescent="0.2">
      <c r="R31" s="2"/>
    </row>
    <row r="32" spans="2:18" x14ac:dyDescent="0.2">
      <c r="R32" s="2"/>
    </row>
    <row r="33" spans="18:18" x14ac:dyDescent="0.2">
      <c r="R33" s="2"/>
    </row>
    <row r="34" spans="18:18" x14ac:dyDescent="0.2">
      <c r="R34" s="2"/>
    </row>
    <row r="35" spans="18:18" x14ac:dyDescent="0.2">
      <c r="R35" s="2"/>
    </row>
    <row r="36" spans="18:18" x14ac:dyDescent="0.2">
      <c r="R36" s="2"/>
    </row>
    <row r="37" spans="18:18" x14ac:dyDescent="0.2">
      <c r="R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A844-4250-3D45-9610-0F0C79BAE490}">
  <dimension ref="B2:G26"/>
  <sheetViews>
    <sheetView workbookViewId="0">
      <selection activeCell="F2" sqref="F2:J22"/>
    </sheetView>
  </sheetViews>
  <sheetFormatPr baseColWidth="10" defaultRowHeight="16" x14ac:dyDescent="0.2"/>
  <cols>
    <col min="3" max="3" width="7.6640625" customWidth="1"/>
  </cols>
  <sheetData>
    <row r="2" spans="2:7" x14ac:dyDescent="0.2">
      <c r="B2" s="3" t="s">
        <v>25</v>
      </c>
      <c r="C2" s="3" t="s">
        <v>26</v>
      </c>
      <c r="D2" s="3" t="s">
        <v>79</v>
      </c>
    </row>
    <row r="3" spans="2:7" x14ac:dyDescent="0.2">
      <c r="B3" s="4">
        <v>1</v>
      </c>
      <c r="C3" s="4" t="s">
        <v>28</v>
      </c>
      <c r="D3" s="5">
        <v>4.3083499999999997E-2</v>
      </c>
      <c r="F3" s="10"/>
      <c r="G3" s="10"/>
    </row>
    <row r="4" spans="2:7" x14ac:dyDescent="0.2">
      <c r="B4" s="4">
        <v>2</v>
      </c>
      <c r="C4" s="4" t="s">
        <v>28</v>
      </c>
      <c r="D4" s="5">
        <v>4.3149199999999999E-2</v>
      </c>
      <c r="F4" s="10"/>
    </row>
    <row r="5" spans="2:7" x14ac:dyDescent="0.2">
      <c r="B5" s="4">
        <v>3</v>
      </c>
      <c r="C5" s="4" t="s">
        <v>28</v>
      </c>
      <c r="D5" s="5">
        <v>4.3179000000000002E-2</v>
      </c>
      <c r="F5" s="10"/>
    </row>
    <row r="6" spans="2:7" x14ac:dyDescent="0.2">
      <c r="B6" s="4">
        <v>1</v>
      </c>
      <c r="C6" s="4" t="s">
        <v>29</v>
      </c>
      <c r="D6" s="5">
        <v>4.3230499999999998E-2</v>
      </c>
      <c r="F6" s="10"/>
    </row>
    <row r="7" spans="2:7" x14ac:dyDescent="0.2">
      <c r="B7" s="4">
        <v>2</v>
      </c>
      <c r="C7" s="4" t="s">
        <v>29</v>
      </c>
      <c r="D7" s="5">
        <v>4.3283799999999997E-2</v>
      </c>
      <c r="F7" s="10"/>
    </row>
    <row r="8" spans="2:7" x14ac:dyDescent="0.2">
      <c r="B8" s="4">
        <v>3</v>
      </c>
      <c r="C8" s="4" t="s">
        <v>29</v>
      </c>
      <c r="D8" s="5">
        <v>4.32185E-2</v>
      </c>
      <c r="F8" s="10"/>
    </row>
    <row r="9" spans="2:7" x14ac:dyDescent="0.2">
      <c r="B9" s="4">
        <v>4</v>
      </c>
      <c r="C9" s="4" t="s">
        <v>29</v>
      </c>
      <c r="D9" s="5">
        <v>4.3148800000000001E-2</v>
      </c>
      <c r="F9" s="10"/>
    </row>
    <row r="10" spans="2:7" x14ac:dyDescent="0.2">
      <c r="B10" s="4">
        <v>5</v>
      </c>
      <c r="C10" s="4" t="s">
        <v>29</v>
      </c>
      <c r="D10" s="5">
        <v>4.2944000000000003E-2</v>
      </c>
      <c r="F10" s="10"/>
    </row>
    <row r="11" spans="2:7" x14ac:dyDescent="0.2">
      <c r="B11" s="4">
        <v>6</v>
      </c>
      <c r="C11" s="4" t="s">
        <v>29</v>
      </c>
      <c r="D11" s="5">
        <v>4.2667999999999998E-2</v>
      </c>
      <c r="F11" s="10"/>
    </row>
    <row r="12" spans="2:7" x14ac:dyDescent="0.2">
      <c r="B12" s="4">
        <v>7</v>
      </c>
      <c r="C12" s="4" t="s">
        <v>29</v>
      </c>
      <c r="D12" s="5">
        <v>4.2358300000000002E-2</v>
      </c>
      <c r="F12" s="10"/>
    </row>
    <row r="13" spans="2:7" x14ac:dyDescent="0.2">
      <c r="B13" s="4">
        <v>8</v>
      </c>
      <c r="C13" s="4" t="s">
        <v>29</v>
      </c>
      <c r="D13" s="5">
        <v>4.2030199999999997E-2</v>
      </c>
      <c r="F13" s="10"/>
    </row>
    <row r="14" spans="2:7" x14ac:dyDescent="0.2">
      <c r="B14" s="4">
        <v>9</v>
      </c>
      <c r="C14" s="4" t="s">
        <v>29</v>
      </c>
      <c r="D14" s="5">
        <v>4.1661999999999998E-2</v>
      </c>
      <c r="F14" s="10"/>
    </row>
    <row r="15" spans="2:7" x14ac:dyDescent="0.2">
      <c r="B15" s="4">
        <v>10</v>
      </c>
      <c r="C15" s="4" t="s">
        <v>29</v>
      </c>
      <c r="D15" s="5">
        <v>4.13701E-2</v>
      </c>
      <c r="F15" s="10"/>
    </row>
    <row r="16" spans="2:7" x14ac:dyDescent="0.2">
      <c r="B16" s="4">
        <v>11</v>
      </c>
      <c r="C16" s="4" t="s">
        <v>29</v>
      </c>
      <c r="D16" s="5">
        <v>4.1052900000000003E-2</v>
      </c>
      <c r="F16" s="10"/>
    </row>
    <row r="17" spans="2:6" x14ac:dyDescent="0.2">
      <c r="B17" s="4">
        <v>12</v>
      </c>
      <c r="C17" s="4" t="s">
        <v>29</v>
      </c>
      <c r="D17" s="5">
        <v>4.0749800000000003E-2</v>
      </c>
      <c r="F17" s="10"/>
    </row>
    <row r="18" spans="2:6" x14ac:dyDescent="0.2">
      <c r="B18" s="4">
        <v>2</v>
      </c>
      <c r="C18" s="9" t="s">
        <v>30</v>
      </c>
      <c r="D18" s="5">
        <v>3.7767000000000002E-2</v>
      </c>
    </row>
    <row r="19" spans="2:6" x14ac:dyDescent="0.2">
      <c r="B19" s="4">
        <v>3</v>
      </c>
      <c r="C19" s="9" t="s">
        <v>30</v>
      </c>
      <c r="D19" s="5">
        <v>3.7051000000000001E-2</v>
      </c>
    </row>
    <row r="20" spans="2:6" x14ac:dyDescent="0.2">
      <c r="B20" s="4">
        <v>4</v>
      </c>
      <c r="C20" s="9" t="s">
        <v>30</v>
      </c>
      <c r="D20" s="5">
        <v>3.7069999999999999E-2</v>
      </c>
    </row>
    <row r="21" spans="2:6" x14ac:dyDescent="0.2">
      <c r="B21" s="4">
        <v>5</v>
      </c>
      <c r="C21" s="9" t="s">
        <v>30</v>
      </c>
      <c r="D21" s="5">
        <v>3.7380499999999997E-2</v>
      </c>
    </row>
    <row r="22" spans="2:6" x14ac:dyDescent="0.2">
      <c r="B22" s="6"/>
      <c r="C22" s="7"/>
      <c r="D22" s="8"/>
    </row>
    <row r="23" spans="2:6" x14ac:dyDescent="0.2">
      <c r="B23" s="6"/>
      <c r="C23" s="6"/>
      <c r="D23" s="8"/>
    </row>
    <row r="24" spans="2:6" x14ac:dyDescent="0.2">
      <c r="B24" s="6"/>
      <c r="C24" s="6"/>
      <c r="D24" s="8"/>
    </row>
    <row r="25" spans="2:6" x14ac:dyDescent="0.2">
      <c r="B25" s="6"/>
      <c r="C25" s="6"/>
      <c r="D25" s="8"/>
    </row>
    <row r="26" spans="2:6" x14ac:dyDescent="0.2">
      <c r="B26" s="6"/>
      <c r="C26" s="6"/>
      <c r="D2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B3D9-181A-E345-AAE2-B8AE89855E79}">
  <dimension ref="A1:H5"/>
  <sheetViews>
    <sheetView tabSelected="1" zoomScale="120" zoomScaleNormal="120" workbookViewId="0">
      <selection activeCell="G5" sqref="G5"/>
    </sheetView>
  </sheetViews>
  <sheetFormatPr baseColWidth="10" defaultRowHeight="16" x14ac:dyDescent="0.2"/>
  <cols>
    <col min="1" max="1" width="5.5" bestFit="1" customWidth="1"/>
    <col min="4" max="4" width="13.6640625" bestFit="1" customWidth="1"/>
    <col min="5" max="5" width="9.5" customWidth="1"/>
    <col min="7" max="7" width="17" bestFit="1" customWidth="1"/>
  </cols>
  <sheetData>
    <row r="1" spans="1:8" x14ac:dyDescent="0.2">
      <c r="A1" s="11" t="s">
        <v>80</v>
      </c>
      <c r="B1" s="11" t="s">
        <v>81</v>
      </c>
      <c r="C1" s="11" t="s">
        <v>83</v>
      </c>
      <c r="D1" s="11" t="s">
        <v>84</v>
      </c>
      <c r="E1" s="11" t="s">
        <v>87</v>
      </c>
      <c r="F1" s="11" t="s">
        <v>79</v>
      </c>
      <c r="G1" s="11" t="s">
        <v>89</v>
      </c>
      <c r="H1" s="11" t="s">
        <v>85</v>
      </c>
    </row>
    <row r="2" spans="1:8" x14ac:dyDescent="0.2">
      <c r="A2">
        <v>1</v>
      </c>
      <c r="B2" t="s">
        <v>54</v>
      </c>
      <c r="C2" t="s">
        <v>31</v>
      </c>
      <c r="D2" s="12">
        <v>1000000</v>
      </c>
      <c r="E2" s="12" t="s">
        <v>86</v>
      </c>
      <c r="F2" s="12">
        <v>1.1000000000000001</v>
      </c>
      <c r="G2" s="12">
        <f>D2*-F2</f>
        <v>-1100000</v>
      </c>
      <c r="H2" s="10">
        <v>46387</v>
      </c>
    </row>
    <row r="3" spans="1:8" x14ac:dyDescent="0.2">
      <c r="A3">
        <v>2</v>
      </c>
      <c r="B3" t="s">
        <v>55</v>
      </c>
      <c r="C3" t="s">
        <v>86</v>
      </c>
      <c r="D3" s="12">
        <v>-2000000</v>
      </c>
      <c r="E3" s="12" t="s">
        <v>88</v>
      </c>
      <c r="F3">
        <v>1.45</v>
      </c>
      <c r="G3" s="12">
        <f>D3/-F3</f>
        <v>1379310.3448275863</v>
      </c>
      <c r="H3" s="10">
        <v>46280</v>
      </c>
    </row>
    <row r="4" spans="1:8" x14ac:dyDescent="0.2">
      <c r="A4">
        <v>3</v>
      </c>
      <c r="B4" t="s">
        <v>82</v>
      </c>
      <c r="C4" t="s">
        <v>56</v>
      </c>
      <c r="D4" s="12">
        <v>100000000</v>
      </c>
      <c r="E4" s="12" t="s">
        <v>86</v>
      </c>
      <c r="F4">
        <v>145</v>
      </c>
      <c r="G4" s="12">
        <f>D4/-F4</f>
        <v>-689655.17241379316</v>
      </c>
      <c r="H4" s="10">
        <v>46113</v>
      </c>
    </row>
    <row r="5" spans="1:8" x14ac:dyDescent="0.2">
      <c r="A5">
        <v>4</v>
      </c>
      <c r="B5" t="s">
        <v>82</v>
      </c>
      <c r="C5" t="s">
        <v>86</v>
      </c>
      <c r="D5" s="12">
        <v>2000000</v>
      </c>
      <c r="E5" s="12" t="s">
        <v>56</v>
      </c>
      <c r="F5">
        <v>151</v>
      </c>
      <c r="G5" s="12">
        <f t="shared" ref="G3:G5" si="0">D5*-F5</f>
        <v>-302000000</v>
      </c>
      <c r="H5" s="10">
        <v>46068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FX</vt:lpstr>
      <vt:lpstr>USDIRS</vt:lpstr>
      <vt:lpstr>FXTrades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G</dc:creator>
  <cp:lastModifiedBy>Pushkar G</cp:lastModifiedBy>
  <dcterms:created xsi:type="dcterms:W3CDTF">2025-11-22T21:27:31Z</dcterms:created>
  <dcterms:modified xsi:type="dcterms:W3CDTF">2025-11-23T01:18:45Z</dcterms:modified>
</cp:coreProperties>
</file>